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9615" windowHeight="11820"/>
  </bookViews>
  <sheets>
    <sheet name="Данные" sheetId="1" r:id="rId1"/>
    <sheet name="ABC" sheetId="2" r:id="rId2"/>
    <sheet name="XYZ" sheetId="3" r:id="rId3"/>
    <sheet name="Запасы_и_заказы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F9" i="3" s="1"/>
  <c r="G9" i="3" s="1"/>
  <c r="E10" i="3"/>
  <c r="F10" i="3" s="1"/>
  <c r="G10" i="3" s="1"/>
  <c r="E11" i="3"/>
  <c r="E2" i="3"/>
  <c r="F2" i="3" s="1"/>
  <c r="G2" i="3" s="1"/>
  <c r="F20" i="4"/>
  <c r="E20" i="4"/>
  <c r="F18" i="4"/>
  <c r="D18" i="4"/>
  <c r="F17" i="4"/>
  <c r="D17" i="4"/>
  <c r="J2" i="4"/>
  <c r="H2" i="4"/>
  <c r="I2" i="4" s="1"/>
  <c r="G2" i="4"/>
  <c r="F2" i="4"/>
  <c r="E3" i="4"/>
  <c r="E4" i="4"/>
  <c r="E5" i="4"/>
  <c r="E6" i="4"/>
  <c r="E7" i="4"/>
  <c r="E8" i="4"/>
  <c r="E9" i="4"/>
  <c r="E10" i="4"/>
  <c r="E11" i="4"/>
  <c r="E2" i="4"/>
  <c r="D2" i="4"/>
  <c r="C4" i="4"/>
  <c r="C5" i="4"/>
  <c r="C6" i="4"/>
  <c r="C7" i="4"/>
  <c r="C8" i="4"/>
  <c r="C9" i="4"/>
  <c r="C10" i="4"/>
  <c r="C11" i="4"/>
  <c r="C2" i="4"/>
  <c r="C3" i="4"/>
  <c r="F3" i="4" s="1"/>
  <c r="H3" i="4" s="1"/>
  <c r="I3" i="4" s="1"/>
  <c r="J3" i="4" s="1"/>
  <c r="D3" i="4"/>
  <c r="G3" i="4" s="1"/>
  <c r="D4" i="4"/>
  <c r="G4" i="4" s="1"/>
  <c r="D5" i="4"/>
  <c r="D6" i="4"/>
  <c r="G6" i="4" s="1"/>
  <c r="D7" i="4"/>
  <c r="G7" i="4" s="1"/>
  <c r="D8" i="4"/>
  <c r="G8" i="4" s="1"/>
  <c r="D9" i="4"/>
  <c r="G9" i="4" s="1"/>
  <c r="D10" i="4"/>
  <c r="G10" i="4" s="1"/>
  <c r="D11" i="4"/>
  <c r="G11" i="4" s="1"/>
  <c r="B3" i="4"/>
  <c r="B4" i="4"/>
  <c r="B5" i="4"/>
  <c r="B6" i="4"/>
  <c r="B7" i="4"/>
  <c r="B8" i="4"/>
  <c r="B9" i="4"/>
  <c r="B10" i="4"/>
  <c r="B11" i="4"/>
  <c r="B2" i="4"/>
  <c r="A2" i="4"/>
  <c r="A3" i="4"/>
  <c r="A4" i="4"/>
  <c r="A5" i="4"/>
  <c r="A6" i="4"/>
  <c r="A7" i="4"/>
  <c r="A8" i="4"/>
  <c r="A9" i="4"/>
  <c r="A10" i="4"/>
  <c r="A11" i="4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11" i="3"/>
  <c r="G11" i="3" s="1"/>
  <c r="D3" i="3"/>
  <c r="D4" i="3"/>
  <c r="D5" i="3"/>
  <c r="D6" i="3"/>
  <c r="D7" i="3"/>
  <c r="D8" i="3"/>
  <c r="D9" i="3"/>
  <c r="D10" i="3"/>
  <c r="D11" i="3"/>
  <c r="D2" i="3"/>
  <c r="G4" i="2"/>
  <c r="G3" i="2"/>
  <c r="G2" i="2"/>
  <c r="C3" i="3"/>
  <c r="C4" i="3"/>
  <c r="C5" i="3"/>
  <c r="C6" i="3"/>
  <c r="C7" i="3"/>
  <c r="C8" i="3"/>
  <c r="C9" i="3"/>
  <c r="C10" i="3"/>
  <c r="C11" i="3"/>
  <c r="C2" i="3"/>
  <c r="B3" i="3"/>
  <c r="B4" i="3"/>
  <c r="B5" i="3"/>
  <c r="B6" i="3"/>
  <c r="B7" i="3"/>
  <c r="B8" i="3"/>
  <c r="B9" i="3"/>
  <c r="B10" i="3"/>
  <c r="B11" i="3"/>
  <c r="B2" i="3"/>
  <c r="A3" i="3"/>
  <c r="A4" i="3"/>
  <c r="A5" i="3"/>
  <c r="A6" i="3"/>
  <c r="A7" i="3"/>
  <c r="A8" i="3"/>
  <c r="A9" i="3"/>
  <c r="A10" i="3"/>
  <c r="A11" i="3"/>
  <c r="A2" i="3"/>
  <c r="E4" i="2"/>
  <c r="E3" i="2"/>
  <c r="E10" i="2"/>
  <c r="E7" i="2"/>
  <c r="E8" i="2"/>
  <c r="E5" i="2"/>
  <c r="E11" i="2"/>
  <c r="E9" i="2"/>
  <c r="E6" i="2"/>
  <c r="E2" i="2"/>
  <c r="D3" i="2"/>
  <c r="D4" i="2"/>
  <c r="D11" i="2"/>
  <c r="D5" i="2"/>
  <c r="D10" i="2"/>
  <c r="D9" i="2"/>
  <c r="D7" i="2"/>
  <c r="D6" i="2"/>
  <c r="D8" i="2"/>
  <c r="D2" i="2"/>
  <c r="C3" i="2"/>
  <c r="C4" i="2"/>
  <c r="C11" i="2"/>
  <c r="C5" i="2"/>
  <c r="C10" i="2"/>
  <c r="C9" i="2"/>
  <c r="C7" i="2"/>
  <c r="C6" i="2"/>
  <c r="C8" i="2"/>
  <c r="C2" i="2"/>
  <c r="B3" i="2"/>
  <c r="B4" i="2"/>
  <c r="A3" i="2"/>
  <c r="A4" i="2"/>
  <c r="A11" i="2"/>
  <c r="B11" i="2" s="1"/>
  <c r="A5" i="2"/>
  <c r="B5" i="2" s="1"/>
  <c r="A10" i="2"/>
  <c r="B10" i="2" s="1"/>
  <c r="A9" i="2"/>
  <c r="B9" i="2" s="1"/>
  <c r="A7" i="2"/>
  <c r="B7" i="2" s="1"/>
  <c r="A6" i="2"/>
  <c r="B6" i="2" s="1"/>
  <c r="A8" i="2"/>
  <c r="B8" i="2" s="1"/>
  <c r="A2" i="2"/>
  <c r="B2" i="2" s="1"/>
  <c r="J2" i="1"/>
  <c r="J3" i="1"/>
  <c r="J4" i="1"/>
  <c r="J5" i="1"/>
  <c r="J6" i="1"/>
  <c r="J7" i="1"/>
  <c r="J8" i="1"/>
  <c r="J9" i="1"/>
  <c r="J10" i="1"/>
  <c r="J11" i="1"/>
  <c r="I2" i="1"/>
  <c r="H2" i="1"/>
  <c r="I3" i="1"/>
  <c r="I4" i="1"/>
  <c r="I5" i="1"/>
  <c r="I6" i="1"/>
  <c r="I7" i="1"/>
  <c r="I8" i="1"/>
  <c r="I9" i="1"/>
  <c r="I10" i="1"/>
  <c r="I11" i="1"/>
  <c r="H3" i="1"/>
  <c r="H4" i="1"/>
  <c r="H5" i="1"/>
  <c r="H6" i="1"/>
  <c r="H7" i="1"/>
  <c r="H8" i="1"/>
  <c r="H9" i="1"/>
  <c r="H10" i="1"/>
  <c r="H11" i="1"/>
  <c r="A3" i="1"/>
  <c r="A4" i="1"/>
  <c r="A5" i="1"/>
  <c r="A6" i="1"/>
  <c r="A7" i="1"/>
  <c r="A8" i="1"/>
  <c r="A9" i="1"/>
  <c r="A10" i="1"/>
  <c r="A11" i="1"/>
  <c r="A2" i="1"/>
  <c r="F5" i="4" l="1"/>
  <c r="H5" i="4" s="1"/>
  <c r="I5" i="4" s="1"/>
  <c r="J5" i="4" s="1"/>
  <c r="F8" i="4"/>
  <c r="H8" i="4" s="1"/>
  <c r="I8" i="4" s="1"/>
  <c r="J8" i="4" s="1"/>
  <c r="F11" i="4"/>
  <c r="H11" i="4" s="1"/>
  <c r="I11" i="4" s="1"/>
  <c r="J11" i="4" s="1"/>
  <c r="F7" i="4"/>
  <c r="H7" i="4" s="1"/>
  <c r="I7" i="4" s="1"/>
  <c r="J7" i="4" s="1"/>
  <c r="F4" i="4"/>
  <c r="H4" i="4" s="1"/>
  <c r="I4" i="4" s="1"/>
  <c r="J4" i="4" s="1"/>
  <c r="G5" i="4"/>
  <c r="F10" i="4"/>
  <c r="H10" i="4" s="1"/>
  <c r="I10" i="4" s="1"/>
  <c r="J10" i="4" s="1"/>
  <c r="F9" i="4"/>
  <c r="H9" i="4" s="1"/>
  <c r="I9" i="4" s="1"/>
  <c r="J9" i="4" s="1"/>
  <c r="F6" i="4"/>
  <c r="H6" i="4" s="1"/>
  <c r="I6" i="4" s="1"/>
  <c r="J6" i="4" s="1"/>
  <c r="F7" i="2"/>
  <c r="F8" i="2"/>
  <c r="F10" i="2"/>
  <c r="F5" i="2"/>
  <c r="F3" i="2"/>
  <c r="F11" i="2"/>
  <c r="F2" i="2"/>
  <c r="F9" i="2"/>
  <c r="F6" i="2"/>
  <c r="F4" i="2"/>
  <c r="H3" i="2" l="1"/>
  <c r="G8" i="2"/>
  <c r="H8" i="2" s="1"/>
  <c r="G11" i="2"/>
  <c r="H11" i="2" s="1"/>
  <c r="G5" i="2"/>
  <c r="H5" i="2" s="1"/>
  <c r="H4" i="2"/>
  <c r="G10" i="2"/>
  <c r="H10" i="2" s="1"/>
  <c r="G9" i="2"/>
  <c r="H9" i="2" s="1"/>
  <c r="H2" i="2"/>
  <c r="G7" i="2"/>
  <c r="H7" i="2" s="1"/>
  <c r="G6" i="2"/>
  <c r="H6" i="2" s="1"/>
</calcChain>
</file>

<file path=xl/sharedStrings.xml><?xml version="1.0" encoding="utf-8"?>
<sst xmlns="http://schemas.openxmlformats.org/spreadsheetml/2006/main" count="76" uniqueCount="57">
  <si>
    <t>Категория</t>
  </si>
  <si>
    <t>Sku</t>
  </si>
  <si>
    <t>Бренд</t>
  </si>
  <si>
    <t>Продажи/мес</t>
  </si>
  <si>
    <t>Выручка ₽</t>
  </si>
  <si>
    <t>Маржа ₽</t>
  </si>
  <si>
    <t>Маржа %</t>
  </si>
  <si>
    <t>Запасы шт</t>
  </si>
  <si>
    <t>Янв</t>
  </si>
  <si>
    <t>Фев</t>
  </si>
  <si>
    <t>Март</t>
  </si>
  <si>
    <t>Холодильники</t>
  </si>
  <si>
    <t>Стиралки</t>
  </si>
  <si>
    <t>Микроволновки</t>
  </si>
  <si>
    <t>Чайники Tefal</t>
  </si>
  <si>
    <t>Чайники Philips</t>
  </si>
  <si>
    <t>Чайник Styline</t>
  </si>
  <si>
    <t xml:space="preserve">Samsung </t>
  </si>
  <si>
    <t xml:space="preserve">LG </t>
  </si>
  <si>
    <t xml:space="preserve">Bosch </t>
  </si>
  <si>
    <t>E Premium</t>
  </si>
  <si>
    <t xml:space="preserve"> F Compact</t>
  </si>
  <si>
    <t xml:space="preserve">Haier </t>
  </si>
  <si>
    <t>Товар</t>
  </si>
  <si>
    <t>Цена. ₽</t>
  </si>
  <si>
    <t>Себест., ₽</t>
  </si>
  <si>
    <t>Апрель</t>
  </si>
  <si>
    <t>Холодильник B</t>
  </si>
  <si>
    <t>Стиралка C</t>
  </si>
  <si>
    <t>Микра D</t>
  </si>
  <si>
    <t>Чайник E</t>
  </si>
  <si>
    <t>Чайник F</t>
  </si>
  <si>
    <t>Холод Pro</t>
  </si>
  <si>
    <t>Стиралка Slim</t>
  </si>
  <si>
    <t>Микра Smart</t>
  </si>
  <si>
    <t>Ранг</t>
  </si>
  <si>
    <t>Доля %</t>
  </si>
  <si>
    <t>Кумулятив %</t>
  </si>
  <si>
    <t>Группа ABC</t>
  </si>
  <si>
    <t>Холодильник F</t>
  </si>
  <si>
    <t>Среднее продаж</t>
  </si>
  <si>
    <t>Станд. Отклонение</t>
  </si>
  <si>
    <t>CV %</t>
  </si>
  <si>
    <t>Группа XYZ</t>
  </si>
  <si>
    <t>Интерпретация</t>
  </si>
  <si>
    <t>Запасы</t>
  </si>
  <si>
    <t>Цена</t>
  </si>
  <si>
    <t>Дней запаса</t>
  </si>
  <si>
    <t>Оборач.</t>
  </si>
  <si>
    <t>Рекомендация</t>
  </si>
  <si>
    <t>Заказ (шт)</t>
  </si>
  <si>
    <t>Сумма заказа</t>
  </si>
  <si>
    <r>
      <t xml:space="preserve">📊 </t>
    </r>
    <r>
      <rPr>
        <sz val="10"/>
        <color theme="1"/>
        <rFont val="Calibri"/>
        <family val="2"/>
        <charset val="204"/>
        <scheme val="minor"/>
      </rPr>
      <t>ДАШБОРД УПРАВЛЕНИЯ ЗАПАСАМИ</t>
    </r>
  </si>
  <si>
    <t>КРИТИЧНО</t>
  </si>
  <si>
    <t>На сумму:</t>
  </si>
  <si>
    <t>В ПЛАНЕ</t>
  </si>
  <si>
    <t>"💰 ИТОГО К ЗАКАЗУ:"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</si>
</sst>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₽-419]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  <font>
      <b/>
      <sz val="11"/>
      <color theme="1"/>
      <name val="Arial Black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theme="2" tint="-0.749992370372631"/>
      <name val="Arial Black"/>
      <family val="2"/>
      <charset val="204"/>
    </font>
    <font>
      <b/>
      <sz val="11"/>
      <color theme="2" tint="-0.749992370372631"/>
      <name val="Arial Black"/>
      <family val="2"/>
      <charset val="204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164" fontId="0" fillId="0" borderId="0" xfId="0" applyNumberFormat="1"/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  <xf numFmtId="10" fontId="0" fillId="0" borderId="0" xfId="0" applyNumberForma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1" fillId="2" borderId="0" xfId="0" applyFont="1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21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Arial Black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#,##0.00\ [$₽-419]"/>
    </dxf>
    <dxf>
      <numFmt numFmtId="164" formatCode="#,##0.00\ [$₽-419]"/>
    </dxf>
    <dxf>
      <alignment horizontal="right" vertical="center" textRotation="0" wrapText="0" indent="0" justifyLastLine="0" shrinkToFit="0" readingOrder="0"/>
    </dxf>
    <dxf>
      <numFmt numFmtId="164" formatCode="#,##0.00\ [$₽-419]"/>
    </dxf>
    <dxf>
      <numFmt numFmtId="164" formatCode="#,##0.00\ [$₽-419]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Данные" displayName="Данные" ref="A1:O11" totalsRowShown="0" headerRowDxfId="11">
  <autoFilter ref="A1:O11"/>
  <tableColumns count="15">
    <tableColumn id="1" name="Sku" dataDxfId="20">
      <calculatedColumnFormula>"SKU"&amp;TEXT(ROW(A1),"000")</calculatedColumnFormula>
    </tableColumn>
    <tableColumn id="2" name="Категория"/>
    <tableColumn id="3" name="Бренд" dataDxfId="19"/>
    <tableColumn id="4" name="Товар" dataDxfId="18"/>
    <tableColumn id="5" name="Цена. ₽" dataDxfId="17"/>
    <tableColumn id="6" name="Себест., ₽" dataDxfId="16"/>
    <tableColumn id="7" name="Продажи/мес" dataDxfId="15"/>
    <tableColumn id="8" name="Выручка ₽" dataDxfId="14">
      <calculatedColumnFormula>E2*G2</calculatedColumnFormula>
    </tableColumn>
    <tableColumn id="9" name="Маржа ₽" dataDxfId="13">
      <calculatedColumnFormula>(E2-F2)*G2</calculatedColumnFormula>
    </tableColumn>
    <tableColumn id="10" name="Маржа %" dataDxfId="12">
      <calculatedColumnFormula>IF(H2&gt;0,(E2-F2)/E2,0)</calculatedColumnFormula>
    </tableColumn>
    <tableColumn id="11" name="Запасы шт"/>
    <tableColumn id="12" name="Янв" dataDxfId="10"/>
    <tableColumn id="13" name="Фев" dataDxfId="9"/>
    <tableColumn id="14" name="Март" dataDxfId="8"/>
    <tableColumn id="15" name="Апрель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E24" sqref="E24"/>
    </sheetView>
  </sheetViews>
  <sheetFormatPr defaultRowHeight="15" x14ac:dyDescent="0.25"/>
  <cols>
    <col min="2" max="2" width="17.42578125" customWidth="1"/>
    <col min="3" max="3" width="29.85546875" customWidth="1"/>
    <col min="4" max="4" width="16.42578125" customWidth="1"/>
    <col min="5" max="5" width="13.28515625" customWidth="1"/>
    <col min="6" max="6" width="17.5703125" customWidth="1"/>
    <col min="7" max="7" width="19.5703125" customWidth="1"/>
    <col min="8" max="8" width="16" customWidth="1"/>
    <col min="9" max="9" width="13.5703125" customWidth="1"/>
    <col min="10" max="10" width="14.28515625" customWidth="1"/>
    <col min="11" max="11" width="16.28515625" customWidth="1"/>
    <col min="15" max="15" width="12" customWidth="1"/>
  </cols>
  <sheetData>
    <row r="1" spans="1:15" ht="18.75" x14ac:dyDescent="0.4">
      <c r="A1" s="11" t="s">
        <v>1</v>
      </c>
      <c r="B1" s="12" t="s">
        <v>0</v>
      </c>
      <c r="C1" s="11" t="s">
        <v>2</v>
      </c>
      <c r="D1" s="11" t="s">
        <v>23</v>
      </c>
      <c r="E1" s="11" t="s">
        <v>24</v>
      </c>
      <c r="F1" s="11" t="s">
        <v>25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26</v>
      </c>
    </row>
    <row r="2" spans="1:15" ht="15.75" x14ac:dyDescent="0.25">
      <c r="A2" s="4" t="str">
        <f>"SKU"&amp;TEXT(ROW(A1),"000")</f>
        <v>SKU001</v>
      </c>
      <c r="B2" s="4" t="s">
        <v>11</v>
      </c>
      <c r="C2" s="6" t="s">
        <v>17</v>
      </c>
      <c r="D2" s="7" t="s">
        <v>39</v>
      </c>
      <c r="E2" s="5">
        <v>30000</v>
      </c>
      <c r="F2" s="5">
        <v>22000</v>
      </c>
      <c r="G2" s="8">
        <v>120</v>
      </c>
      <c r="H2" s="5">
        <f>E2*G2</f>
        <v>3600000</v>
      </c>
      <c r="I2" s="5">
        <f>(E2-F2)*G2</f>
        <v>960000</v>
      </c>
      <c r="J2" s="9">
        <f>IF(H2&gt;0,(E2-F2)/E2,0)</f>
        <v>0.26666666666666666</v>
      </c>
      <c r="K2">
        <v>20</v>
      </c>
      <c r="L2" s="15">
        <v>115</v>
      </c>
      <c r="M2" s="15">
        <v>122</v>
      </c>
      <c r="N2" s="15">
        <v>118</v>
      </c>
      <c r="O2" s="15">
        <v>125</v>
      </c>
    </row>
    <row r="3" spans="1:15" ht="15.75" x14ac:dyDescent="0.25">
      <c r="A3" s="4" t="str">
        <f t="shared" ref="A3:A50" si="0">"SKU"&amp;TEXT(ROW(A2),"000")</f>
        <v>SKU002</v>
      </c>
      <c r="B3" s="4" t="s">
        <v>11</v>
      </c>
      <c r="C3" s="6" t="s">
        <v>18</v>
      </c>
      <c r="D3" s="7" t="s">
        <v>27</v>
      </c>
      <c r="E3" s="5">
        <v>35000</v>
      </c>
      <c r="F3" s="5">
        <v>28000</v>
      </c>
      <c r="G3" s="8">
        <v>60</v>
      </c>
      <c r="H3" s="5">
        <f t="shared" ref="H3:H11" si="1">E3*G3</f>
        <v>2100000</v>
      </c>
      <c r="I3" s="5">
        <f t="shared" ref="I3:I11" si="2">(E3-F3)*G3</f>
        <v>420000</v>
      </c>
      <c r="J3" s="9">
        <f t="shared" ref="J3:J11" si="3">IF(H3&gt;0,(E3-F3)/E3,0)</f>
        <v>0.2</v>
      </c>
      <c r="K3">
        <v>30</v>
      </c>
      <c r="L3" s="15">
        <v>55</v>
      </c>
      <c r="M3" s="15">
        <v>68</v>
      </c>
      <c r="N3" s="15">
        <v>52</v>
      </c>
      <c r="O3" s="15">
        <v>70</v>
      </c>
    </row>
    <row r="4" spans="1:15" ht="15.75" x14ac:dyDescent="0.25">
      <c r="A4" s="4" t="str">
        <f t="shared" si="0"/>
        <v>SKU003</v>
      </c>
      <c r="B4" t="s">
        <v>12</v>
      </c>
      <c r="C4" s="6" t="s">
        <v>19</v>
      </c>
      <c r="D4" s="1" t="s">
        <v>28</v>
      </c>
      <c r="E4" s="5">
        <v>45000</v>
      </c>
      <c r="F4" s="5">
        <v>35000</v>
      </c>
      <c r="G4" s="8">
        <v>80</v>
      </c>
      <c r="H4" s="5">
        <f t="shared" si="1"/>
        <v>3600000</v>
      </c>
      <c r="I4" s="5">
        <f t="shared" si="2"/>
        <v>800000</v>
      </c>
      <c r="J4" s="9">
        <f t="shared" si="3"/>
        <v>0.22222222222222221</v>
      </c>
      <c r="K4">
        <v>10</v>
      </c>
      <c r="L4" s="15">
        <v>78</v>
      </c>
      <c r="M4" s="15">
        <v>85</v>
      </c>
      <c r="N4" s="15">
        <v>72</v>
      </c>
      <c r="O4" s="15">
        <v>88</v>
      </c>
    </row>
    <row r="5" spans="1:15" ht="15.75" x14ac:dyDescent="0.25">
      <c r="A5" s="4" t="str">
        <f t="shared" si="0"/>
        <v>SKU004</v>
      </c>
      <c r="B5" t="s">
        <v>13</v>
      </c>
      <c r="C5" s="6" t="s">
        <v>17</v>
      </c>
      <c r="D5" s="1" t="s">
        <v>29</v>
      </c>
      <c r="E5" s="5">
        <v>8000</v>
      </c>
      <c r="F5" s="5">
        <v>5500</v>
      </c>
      <c r="G5" s="8">
        <v>150</v>
      </c>
      <c r="H5" s="5">
        <f t="shared" si="1"/>
        <v>1200000</v>
      </c>
      <c r="I5" s="5">
        <f t="shared" si="2"/>
        <v>375000</v>
      </c>
      <c r="J5" s="9">
        <f t="shared" si="3"/>
        <v>0.3125</v>
      </c>
      <c r="K5">
        <v>50</v>
      </c>
      <c r="L5" s="15">
        <v>145</v>
      </c>
      <c r="M5" s="15">
        <v>155</v>
      </c>
      <c r="N5" s="15">
        <v>140</v>
      </c>
      <c r="O5" s="15">
        <v>160</v>
      </c>
    </row>
    <row r="6" spans="1:15" ht="15.75" x14ac:dyDescent="0.25">
      <c r="A6" s="4" t="str">
        <f t="shared" si="0"/>
        <v>SKU005</v>
      </c>
      <c r="B6" t="s">
        <v>14</v>
      </c>
      <c r="C6" s="6" t="s">
        <v>20</v>
      </c>
      <c r="D6" s="1" t="s">
        <v>30</v>
      </c>
      <c r="E6" s="5">
        <v>2500</v>
      </c>
      <c r="F6" s="5">
        <v>1800</v>
      </c>
      <c r="G6" s="8">
        <v>300</v>
      </c>
      <c r="H6" s="5">
        <f t="shared" si="1"/>
        <v>750000</v>
      </c>
      <c r="I6" s="5">
        <f t="shared" si="2"/>
        <v>210000</v>
      </c>
      <c r="J6" s="9">
        <f t="shared" si="3"/>
        <v>0.28000000000000003</v>
      </c>
      <c r="K6">
        <v>200</v>
      </c>
      <c r="L6" s="15">
        <v>290</v>
      </c>
      <c r="M6" s="15">
        <v>310</v>
      </c>
      <c r="N6" s="15">
        <v>285</v>
      </c>
      <c r="O6" s="15">
        <v>320</v>
      </c>
    </row>
    <row r="7" spans="1:15" ht="15.75" x14ac:dyDescent="0.25">
      <c r="A7" s="4" t="str">
        <f t="shared" si="0"/>
        <v>SKU006</v>
      </c>
      <c r="B7" t="s">
        <v>15</v>
      </c>
      <c r="C7" s="6" t="s">
        <v>21</v>
      </c>
      <c r="D7" s="1" t="s">
        <v>31</v>
      </c>
      <c r="E7" s="5">
        <v>2000</v>
      </c>
      <c r="F7" s="5">
        <v>1600</v>
      </c>
      <c r="G7" s="8">
        <v>50</v>
      </c>
      <c r="H7" s="5">
        <f t="shared" si="1"/>
        <v>100000</v>
      </c>
      <c r="I7" s="5">
        <f t="shared" si="2"/>
        <v>20000</v>
      </c>
      <c r="J7" s="9">
        <f t="shared" si="3"/>
        <v>0.2</v>
      </c>
      <c r="K7">
        <v>40</v>
      </c>
      <c r="L7" s="15">
        <v>40</v>
      </c>
      <c r="M7" s="15">
        <v>65</v>
      </c>
      <c r="N7" s="15">
        <v>35</v>
      </c>
      <c r="O7" s="15">
        <v>70</v>
      </c>
    </row>
    <row r="8" spans="1:15" ht="15.75" x14ac:dyDescent="0.25">
      <c r="A8" s="4" t="str">
        <f t="shared" si="0"/>
        <v>SKU007</v>
      </c>
      <c r="B8" t="s">
        <v>11</v>
      </c>
      <c r="C8" s="6" t="s">
        <v>22</v>
      </c>
      <c r="D8" s="1" t="s">
        <v>32</v>
      </c>
      <c r="E8" s="5">
        <v>55000</v>
      </c>
      <c r="F8" s="5">
        <v>42000</v>
      </c>
      <c r="G8" s="8">
        <v>25</v>
      </c>
      <c r="H8" s="5">
        <f t="shared" si="1"/>
        <v>1375000</v>
      </c>
      <c r="I8" s="5">
        <f t="shared" si="2"/>
        <v>325000</v>
      </c>
      <c r="J8" s="9">
        <f t="shared" si="3"/>
        <v>0.23636363636363636</v>
      </c>
      <c r="K8">
        <v>8</v>
      </c>
      <c r="L8" s="15">
        <v>22</v>
      </c>
      <c r="M8" s="15">
        <v>28</v>
      </c>
      <c r="N8" s="15">
        <v>24</v>
      </c>
      <c r="O8" s="15">
        <v>30</v>
      </c>
    </row>
    <row r="9" spans="1:15" ht="15.75" x14ac:dyDescent="0.25">
      <c r="A9" s="4" t="str">
        <f t="shared" si="0"/>
        <v>SKU008</v>
      </c>
      <c r="B9" t="s">
        <v>12</v>
      </c>
      <c r="C9" s="6" t="s">
        <v>18</v>
      </c>
      <c r="D9" s="1" t="s">
        <v>33</v>
      </c>
      <c r="E9" s="5">
        <v>32000</v>
      </c>
      <c r="F9" s="5">
        <v>24000</v>
      </c>
      <c r="G9" s="8">
        <v>45</v>
      </c>
      <c r="H9" s="5">
        <f t="shared" si="1"/>
        <v>1440000</v>
      </c>
      <c r="I9" s="5">
        <f t="shared" si="2"/>
        <v>360000</v>
      </c>
      <c r="J9" s="9">
        <f t="shared" si="3"/>
        <v>0.25</v>
      </c>
      <c r="K9">
        <v>15</v>
      </c>
      <c r="L9" s="15">
        <v>42</v>
      </c>
      <c r="M9" s="15">
        <v>48</v>
      </c>
      <c r="N9" s="15">
        <v>49</v>
      </c>
      <c r="O9" s="15">
        <v>52</v>
      </c>
    </row>
    <row r="10" spans="1:15" ht="15.75" x14ac:dyDescent="0.25">
      <c r="A10" s="4" t="str">
        <f t="shared" si="0"/>
        <v>SKU009</v>
      </c>
      <c r="B10" t="s">
        <v>13</v>
      </c>
      <c r="C10" s="6" t="s">
        <v>18</v>
      </c>
      <c r="D10" s="1" t="s">
        <v>34</v>
      </c>
      <c r="E10" s="5">
        <v>12000</v>
      </c>
      <c r="F10" s="5">
        <v>8500</v>
      </c>
      <c r="G10" s="8">
        <v>65</v>
      </c>
      <c r="H10" s="5">
        <f t="shared" si="1"/>
        <v>780000</v>
      </c>
      <c r="I10" s="5">
        <f t="shared" si="2"/>
        <v>227500</v>
      </c>
      <c r="J10" s="9">
        <f t="shared" si="3"/>
        <v>0.29166666666666669</v>
      </c>
      <c r="K10">
        <v>22</v>
      </c>
      <c r="L10" s="15">
        <v>60</v>
      </c>
      <c r="M10" s="15">
        <v>72</v>
      </c>
      <c r="N10" s="15">
        <v>57</v>
      </c>
      <c r="O10" s="15">
        <v>75</v>
      </c>
    </row>
    <row r="11" spans="1:15" ht="15.75" x14ac:dyDescent="0.25">
      <c r="A11" s="4" t="str">
        <f t="shared" si="0"/>
        <v>SKU010</v>
      </c>
      <c r="B11" t="s">
        <v>11</v>
      </c>
      <c r="C11" s="6" t="s">
        <v>17</v>
      </c>
      <c r="D11" s="1" t="s">
        <v>16</v>
      </c>
      <c r="E11" s="5">
        <v>3200</v>
      </c>
      <c r="F11" s="5">
        <v>2400</v>
      </c>
      <c r="G11" s="8">
        <v>85</v>
      </c>
      <c r="H11" s="5">
        <f t="shared" si="1"/>
        <v>272000</v>
      </c>
      <c r="I11" s="5">
        <f t="shared" si="2"/>
        <v>68000</v>
      </c>
      <c r="J11" s="9">
        <f t="shared" si="3"/>
        <v>0.25</v>
      </c>
      <c r="K11">
        <v>65</v>
      </c>
      <c r="L11" s="15">
        <v>80</v>
      </c>
      <c r="M11" s="15">
        <v>90</v>
      </c>
      <c r="N11" s="15">
        <v>82</v>
      </c>
      <c r="O11" s="15">
        <v>95</v>
      </c>
    </row>
    <row r="12" spans="1:15" ht="15.75" x14ac:dyDescent="0.25">
      <c r="A12" s="4"/>
    </row>
    <row r="13" spans="1:15" ht="15.75" x14ac:dyDescent="0.25">
      <c r="A13" s="4"/>
    </row>
    <row r="14" spans="1:15" ht="15.75" x14ac:dyDescent="0.25">
      <c r="A14" s="4"/>
    </row>
    <row r="15" spans="1:15" ht="15.75" x14ac:dyDescent="0.25">
      <c r="A15" s="4"/>
    </row>
    <row r="16" spans="1:15" ht="15.75" x14ac:dyDescent="0.25">
      <c r="A16" s="4"/>
    </row>
    <row r="17" spans="1:1" ht="15.75" x14ac:dyDescent="0.25">
      <c r="A17" s="4"/>
    </row>
    <row r="18" spans="1:1" ht="15.75" x14ac:dyDescent="0.25">
      <c r="A18" s="4"/>
    </row>
    <row r="19" spans="1:1" ht="15.75" x14ac:dyDescent="0.25">
      <c r="A19" s="4"/>
    </row>
    <row r="20" spans="1:1" ht="15.75" x14ac:dyDescent="0.25">
      <c r="A20" s="4"/>
    </row>
    <row r="21" spans="1:1" ht="15.75" x14ac:dyDescent="0.25">
      <c r="A21" s="4"/>
    </row>
    <row r="22" spans="1:1" ht="15.75" x14ac:dyDescent="0.25">
      <c r="A22" s="4"/>
    </row>
    <row r="23" spans="1:1" ht="15.75" x14ac:dyDescent="0.25">
      <c r="A23" s="4"/>
    </row>
    <row r="24" spans="1:1" ht="15.75" x14ac:dyDescent="0.25">
      <c r="A24" s="4"/>
    </row>
    <row r="25" spans="1:1" ht="15.75" x14ac:dyDescent="0.25">
      <c r="A25" s="4"/>
    </row>
    <row r="26" spans="1:1" ht="15.75" x14ac:dyDescent="0.25">
      <c r="A26" s="4"/>
    </row>
    <row r="27" spans="1:1" ht="15.75" x14ac:dyDescent="0.25">
      <c r="A27" s="4"/>
    </row>
    <row r="28" spans="1:1" ht="15.75" x14ac:dyDescent="0.25">
      <c r="A28" s="4"/>
    </row>
    <row r="29" spans="1:1" ht="15.75" x14ac:dyDescent="0.25">
      <c r="A29" s="4"/>
    </row>
    <row r="30" spans="1:1" ht="15.75" x14ac:dyDescent="0.25">
      <c r="A30" s="4"/>
    </row>
    <row r="31" spans="1:1" ht="15.75" x14ac:dyDescent="0.25">
      <c r="A31" s="4"/>
    </row>
    <row r="32" spans="1:1" ht="15.75" x14ac:dyDescent="0.25">
      <c r="A32" s="4"/>
    </row>
    <row r="33" spans="1:1" ht="15.75" x14ac:dyDescent="0.25">
      <c r="A33" s="4"/>
    </row>
    <row r="34" spans="1:1" ht="15.75" x14ac:dyDescent="0.25">
      <c r="A34" s="4"/>
    </row>
    <row r="35" spans="1:1" ht="15.75" x14ac:dyDescent="0.25">
      <c r="A35" s="4"/>
    </row>
    <row r="36" spans="1:1" ht="15.75" x14ac:dyDescent="0.25">
      <c r="A36" s="4"/>
    </row>
    <row r="37" spans="1:1" ht="15.75" x14ac:dyDescent="0.25">
      <c r="A37" s="4"/>
    </row>
    <row r="38" spans="1:1" ht="15.75" x14ac:dyDescent="0.25">
      <c r="A38" s="4"/>
    </row>
    <row r="39" spans="1:1" ht="15.75" x14ac:dyDescent="0.25">
      <c r="A39" s="4"/>
    </row>
    <row r="40" spans="1:1" ht="15.75" x14ac:dyDescent="0.25">
      <c r="A40" s="4"/>
    </row>
    <row r="41" spans="1:1" ht="15.75" x14ac:dyDescent="0.25">
      <c r="A41" s="4"/>
    </row>
    <row r="42" spans="1:1" ht="15.75" x14ac:dyDescent="0.25">
      <c r="A42" s="4"/>
    </row>
    <row r="43" spans="1:1" ht="15.75" x14ac:dyDescent="0.25">
      <c r="A43" s="4"/>
    </row>
    <row r="44" spans="1:1" ht="15.75" x14ac:dyDescent="0.25">
      <c r="A44" s="4"/>
    </row>
    <row r="45" spans="1:1" ht="15.75" x14ac:dyDescent="0.25">
      <c r="A45" s="4"/>
    </row>
    <row r="46" spans="1:1" ht="15.75" x14ac:dyDescent="0.25">
      <c r="A46" s="4"/>
    </row>
    <row r="47" spans="1:1" ht="15.75" x14ac:dyDescent="0.25">
      <c r="A47" s="4"/>
    </row>
    <row r="48" spans="1:1" ht="15.75" x14ac:dyDescent="0.25">
      <c r="A48" s="4"/>
    </row>
    <row r="49" spans="1:1" ht="15.75" x14ac:dyDescent="0.25">
      <c r="A49" s="4"/>
    </row>
    <row r="50" spans="1:1" ht="15.75" x14ac:dyDescent="0.25">
      <c r="A50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E18" sqref="E18"/>
    </sheetView>
  </sheetViews>
  <sheetFormatPr defaultRowHeight="15" x14ac:dyDescent="0.25"/>
  <cols>
    <col min="1" max="1" width="10.7109375" customWidth="1"/>
    <col min="2" max="2" width="17" customWidth="1"/>
    <col min="3" max="3" width="18.5703125" customWidth="1"/>
    <col min="4" max="4" width="17" customWidth="1"/>
    <col min="5" max="5" width="17.42578125" customWidth="1"/>
    <col min="6" max="6" width="17.140625" customWidth="1"/>
    <col min="7" max="7" width="16.5703125" customWidth="1"/>
    <col min="8" max="8" width="18.85546875" customWidth="1"/>
  </cols>
  <sheetData>
    <row r="1" spans="1:8" ht="18.75" x14ac:dyDescent="0.4">
      <c r="A1" s="2" t="s">
        <v>35</v>
      </c>
      <c r="B1" s="2" t="s">
        <v>1</v>
      </c>
      <c r="C1" s="2" t="s">
        <v>23</v>
      </c>
      <c r="D1" s="2" t="s">
        <v>0</v>
      </c>
      <c r="E1" s="2" t="s">
        <v>4</v>
      </c>
      <c r="F1" s="2" t="s">
        <v>36</v>
      </c>
      <c r="G1" s="2" t="s">
        <v>37</v>
      </c>
      <c r="H1" s="2" t="s">
        <v>38</v>
      </c>
    </row>
    <row r="2" spans="1:8" ht="15.75" x14ac:dyDescent="0.25">
      <c r="A2">
        <f>ROW()-1</f>
        <v>1</v>
      </c>
      <c r="B2" s="10" t="str">
        <f>INDEX(Данные[Sku], A2)</f>
        <v>SKU001</v>
      </c>
      <c r="C2" t="str">
        <f>Данные[Товар]</f>
        <v>Холодильник F</v>
      </c>
      <c r="D2" t="str">
        <f>Данные[Категория]</f>
        <v>Холодильники</v>
      </c>
      <c r="E2" s="7">
        <f>Данные[Выручка ₽]</f>
        <v>3600000</v>
      </c>
      <c r="F2" s="14">
        <f>E2/SUM($E$2:$E$11)</f>
        <v>0.23657751199316554</v>
      </c>
      <c r="G2" s="13">
        <f>SUM($F$2:F2)</f>
        <v>0.23657751199316554</v>
      </c>
      <c r="H2" s="1" t="str">
        <f>IF(G2&lt;=0.8,"A",IF(G2&lt;=0.95,"B","C"))</f>
        <v>A</v>
      </c>
    </row>
    <row r="3" spans="1:8" ht="15.75" x14ac:dyDescent="0.25">
      <c r="A3">
        <f>ROW()-1</f>
        <v>2</v>
      </c>
      <c r="B3" s="10" t="str">
        <f>INDEX(Данные[Sku], A3)</f>
        <v>SKU002</v>
      </c>
      <c r="C3" t="str">
        <f>Данные[Товар]</f>
        <v>Холодильник B</v>
      </c>
      <c r="D3" t="str">
        <f>Данные[Категория]</f>
        <v>Холодильники</v>
      </c>
      <c r="E3" s="7">
        <f>Данные[Выручка ₽]</f>
        <v>2100000</v>
      </c>
      <c r="F3" s="14">
        <f>E3/SUM($E$2:$E$11)</f>
        <v>0.13800354866267989</v>
      </c>
      <c r="G3" s="13">
        <f>SUM($F$2:F3)</f>
        <v>0.3745810606558454</v>
      </c>
      <c r="H3" s="1" t="str">
        <f>IF(G3&lt;=0.8,"A",IF(G3&lt;=0.95,"B","C"))</f>
        <v>A</v>
      </c>
    </row>
    <row r="4" spans="1:8" ht="15.75" x14ac:dyDescent="0.25">
      <c r="A4">
        <f>ROW()-1</f>
        <v>3</v>
      </c>
      <c r="B4" s="10" t="str">
        <f>INDEX(Данные[Sku], A4)</f>
        <v>SKU003</v>
      </c>
      <c r="C4" t="str">
        <f>Данные[Товар]</f>
        <v>Стиралка C</v>
      </c>
      <c r="D4" t="str">
        <f>Данные[Категория]</f>
        <v>Стиралки</v>
      </c>
      <c r="E4" s="7">
        <f>Данные[Выручка ₽]</f>
        <v>3600000</v>
      </c>
      <c r="F4" s="14">
        <f>E4/SUM($E$2:$E$11)</f>
        <v>0.23657751199316554</v>
      </c>
      <c r="G4" s="13">
        <f>SUM($F$2:F4)</f>
        <v>0.61115857264901097</v>
      </c>
      <c r="H4" s="1" t="str">
        <f>IF(G4&lt;=0.8,"A",IF(G4&lt;=0.95,"B","C"))</f>
        <v>A</v>
      </c>
    </row>
    <row r="5" spans="1:8" ht="15.75" x14ac:dyDescent="0.25">
      <c r="A5">
        <f>ROW()-1</f>
        <v>4</v>
      </c>
      <c r="B5" s="10" t="str">
        <f>INDEX(Данные[Sku], A5)</f>
        <v>SKU004</v>
      </c>
      <c r="C5" t="str">
        <f>Данные[Товар]</f>
        <v>Микра D</v>
      </c>
      <c r="D5" t="str">
        <f>Данные[Категория]</f>
        <v>Микроволновки</v>
      </c>
      <c r="E5" s="7">
        <f>Данные[Выручка ₽]</f>
        <v>1200000</v>
      </c>
      <c r="F5" s="14">
        <f>E5/SUM($E$2:$E$11)</f>
        <v>7.8859170664388509E-2</v>
      </c>
      <c r="G5" s="13">
        <f>SUM($F$2:F5)</f>
        <v>0.69001774331339949</v>
      </c>
      <c r="H5" s="1" t="str">
        <f>IF(G5&lt;=0.8,"A",IF(G5&lt;=0.95,"B","C"))</f>
        <v>A</v>
      </c>
    </row>
    <row r="6" spans="1:8" ht="15.75" x14ac:dyDescent="0.25">
      <c r="A6">
        <f>ROW()-1</f>
        <v>5</v>
      </c>
      <c r="B6" s="10" t="str">
        <f>INDEX(Данные[Sku], A6)</f>
        <v>SKU005</v>
      </c>
      <c r="C6" t="str">
        <f>Данные[Товар]</f>
        <v>Чайник E</v>
      </c>
      <c r="D6" t="str">
        <f>Данные[Категория]</f>
        <v>Чайники Tefal</v>
      </c>
      <c r="E6" s="7">
        <f>Данные[Выручка ₽]</f>
        <v>750000</v>
      </c>
      <c r="F6" s="14">
        <f>E6/SUM($E$2:$E$11)</f>
        <v>4.928698166524282E-2</v>
      </c>
      <c r="G6" s="13">
        <f>SUM($F$2:F6)</f>
        <v>0.7393047249786423</v>
      </c>
      <c r="H6" s="1" t="str">
        <f>IF(G6&lt;=0.8,"A",IF(G6&lt;=0.95,"B","C"))</f>
        <v>A</v>
      </c>
    </row>
    <row r="7" spans="1:8" ht="15.75" x14ac:dyDescent="0.25">
      <c r="A7">
        <f>ROW()-1</f>
        <v>6</v>
      </c>
      <c r="B7" s="10" t="str">
        <f>INDEX(Данные[Sku], A7)</f>
        <v>SKU006</v>
      </c>
      <c r="C7" t="str">
        <f>Данные[Товар]</f>
        <v>Чайник F</v>
      </c>
      <c r="D7" t="str">
        <f>Данные[Категория]</f>
        <v>Чайники Philips</v>
      </c>
      <c r="E7" s="7">
        <f>Данные[Выручка ₽]</f>
        <v>100000</v>
      </c>
      <c r="F7" s="14">
        <f>E7/SUM($E$2:$E$11)</f>
        <v>6.5715975553657094E-3</v>
      </c>
      <c r="G7" s="13">
        <f>SUM($F$2:F7)</f>
        <v>0.74587632253400804</v>
      </c>
      <c r="H7" s="1" t="str">
        <f>IF(G7&lt;=0.8,"A",IF(G7&lt;=0.95,"B","C"))</f>
        <v>A</v>
      </c>
    </row>
    <row r="8" spans="1:8" ht="15.75" x14ac:dyDescent="0.25">
      <c r="A8">
        <f>ROW()-1</f>
        <v>7</v>
      </c>
      <c r="B8" s="10" t="str">
        <f>INDEX(Данные[Sku], A8)</f>
        <v>SKU007</v>
      </c>
      <c r="C8" t="str">
        <f>Данные[Товар]</f>
        <v>Холод Pro</v>
      </c>
      <c r="D8" t="str">
        <f>Данные[Категория]</f>
        <v>Холодильники</v>
      </c>
      <c r="E8" s="7">
        <f>Данные[Выручка ₽]</f>
        <v>1375000</v>
      </c>
      <c r="F8" s="14">
        <f>E8/SUM($E$2:$E$11)</f>
        <v>9.0359466386278509E-2</v>
      </c>
      <c r="G8" s="13">
        <f>SUM($F$2:F8)</f>
        <v>0.83623578892028649</v>
      </c>
      <c r="H8" s="1" t="str">
        <f>IF(G8&lt;=0.8,"A",IF(G8&lt;=0.95,"B","C"))</f>
        <v>B</v>
      </c>
    </row>
    <row r="9" spans="1:8" ht="15.75" x14ac:dyDescent="0.25">
      <c r="A9">
        <f>ROW()-1</f>
        <v>8</v>
      </c>
      <c r="B9" s="10" t="str">
        <f>INDEX(Данные[Sku], A9)</f>
        <v>SKU008</v>
      </c>
      <c r="C9" t="str">
        <f>Данные[Товар]</f>
        <v>Стиралка Slim</v>
      </c>
      <c r="D9" t="str">
        <f>Данные[Категория]</f>
        <v>Стиралки</v>
      </c>
      <c r="E9" s="7">
        <f>Данные[Выручка ₽]</f>
        <v>1440000</v>
      </c>
      <c r="F9" s="14">
        <f>E9/SUM($E$2:$E$11)</f>
        <v>9.4631004797266216E-2</v>
      </c>
      <c r="G9" s="13">
        <f>SUM($F$2:F9)</f>
        <v>0.93086679371755277</v>
      </c>
      <c r="H9" s="1" t="str">
        <f>IF(G9&lt;=0.8,"A",IF(G9&lt;=0.95,"B","C"))</f>
        <v>B</v>
      </c>
    </row>
    <row r="10" spans="1:8" ht="15.75" x14ac:dyDescent="0.25">
      <c r="A10">
        <f>ROW()-1</f>
        <v>9</v>
      </c>
      <c r="B10" s="10" t="str">
        <f>INDEX(Данные[Sku], A10)</f>
        <v>SKU009</v>
      </c>
      <c r="C10" t="str">
        <f>Данные[Товар]</f>
        <v>Микра Smart</v>
      </c>
      <c r="D10" t="str">
        <f>Данные[Категория]</f>
        <v>Микроволновки</v>
      </c>
      <c r="E10" s="7">
        <f>Данные[Выручка ₽]</f>
        <v>780000</v>
      </c>
      <c r="F10" s="14">
        <f>E10/SUM($E$2:$E$11)</f>
        <v>5.1258460931852531E-2</v>
      </c>
      <c r="G10" s="13">
        <f>SUM($F$2:F10)</f>
        <v>0.98212525464940525</v>
      </c>
      <c r="H10" s="1" t="str">
        <f>IF(G10&lt;=0.8,"A",IF(G10&lt;=0.95,"B","C"))</f>
        <v>C</v>
      </c>
    </row>
    <row r="11" spans="1:8" ht="15.75" x14ac:dyDescent="0.25">
      <c r="A11">
        <f>ROW()-1</f>
        <v>10</v>
      </c>
      <c r="B11" s="10" t="str">
        <f>INDEX(Данные[Sku], A11)</f>
        <v>SKU010</v>
      </c>
      <c r="C11" t="str">
        <f>Данные[Товар]</f>
        <v>Чайник Styline</v>
      </c>
      <c r="D11" t="str">
        <f>Данные[Категория]</f>
        <v>Холодильники</v>
      </c>
      <c r="E11" s="7">
        <f>Данные[Выручка ₽]</f>
        <v>272000</v>
      </c>
      <c r="F11" s="14">
        <f>E11/SUM($E$2:$E$11)</f>
        <v>1.7874745350594731E-2</v>
      </c>
      <c r="G11" s="13">
        <f>SUM($F$2:F11)</f>
        <v>1</v>
      </c>
      <c r="H11" s="1" t="str">
        <f>IF(G11&lt;=0.8,"A",IF(G11&lt;=0.95,"B","C"))</f>
        <v>C</v>
      </c>
    </row>
  </sheetData>
  <sortState ref="A2:H11">
    <sortCondition descending="1" ref="E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20" sqref="E20"/>
    </sheetView>
  </sheetViews>
  <sheetFormatPr defaultRowHeight="15" x14ac:dyDescent="0.25"/>
  <cols>
    <col min="1" max="1" width="12.42578125" customWidth="1"/>
    <col min="2" max="2" width="16.42578125" customWidth="1"/>
    <col min="3" max="3" width="21.5703125" customWidth="1"/>
    <col min="4" max="4" width="27.28515625" customWidth="1"/>
    <col min="5" max="5" width="15.85546875" customWidth="1"/>
    <col min="6" max="6" width="21.140625" customWidth="1"/>
    <col min="7" max="7" width="47" customWidth="1"/>
  </cols>
  <sheetData>
    <row r="1" spans="1:7" ht="18.75" x14ac:dyDescent="0.4">
      <c r="A1" s="3" t="s">
        <v>1</v>
      </c>
      <c r="B1" s="3" t="s">
        <v>23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</row>
    <row r="2" spans="1:7" x14ac:dyDescent="0.25">
      <c r="A2" t="str">
        <f>Данные[Sku]</f>
        <v>SKU001</v>
      </c>
      <c r="B2" t="str">
        <f>Данные[Товар]</f>
        <v>Холодильник F</v>
      </c>
      <c r="C2" s="16">
        <f>AVERAGE(Данные!L2:O2)</f>
        <v>120</v>
      </c>
      <c r="D2" s="15">
        <f>_xlfn.STDEV.S(
VLOOKUP($A2,Данные!$A$2:$O$11,12,0),
VLOOKUP($A2,Данные!$A$2:$O$11,13,0),
VLOOKUP($A2,Данные!$A$2:$O$11,14,0),
VLOOKUP($A2,Данные!$A$2:$O$11,15,0)
)</f>
        <v>4.3969686527576393</v>
      </c>
      <c r="E2" s="15">
        <f>IF(C2=0,0,(D2/C2*100))</f>
        <v>3.6641405439646992</v>
      </c>
      <c r="F2" s="1" t="str">
        <f>IF(E2&lt;=10,"X",IF(E2&lt;=25,"Y","Z"))</f>
        <v>X</v>
      </c>
      <c r="G2" t="str">
        <f>IF(F2="X","✅ Стабильный спрос - точный прогноз",
IF(F2="Y","⚠️ Умеренные колебания - корректировать заказ",
"❌ Нестабильность - под заказ"))</f>
        <v>✅ Стабильный спрос - точный прогноз</v>
      </c>
    </row>
    <row r="3" spans="1:7" x14ac:dyDescent="0.25">
      <c r="A3" t="str">
        <f>Данные[Sku]</f>
        <v>SKU002</v>
      </c>
      <c r="B3" t="str">
        <f>Данные[Товар]</f>
        <v>Холодильник B</v>
      </c>
      <c r="C3" s="16">
        <f>AVERAGE(Данные!L3:O3)</f>
        <v>61.25</v>
      </c>
      <c r="D3" s="15">
        <f>_xlfn.STDEV.S(
VLOOKUP($A3,Данные!$A$2:$O$11,12,0),
VLOOKUP($A3,Данные!$A$2:$O$11,13,0),
VLOOKUP($A3,Данные!$A$2:$O$11,14,0),
VLOOKUP($A3,Данные!$A$2:$O$11,15,0)
)</f>
        <v>9.0691785736085269</v>
      </c>
      <c r="E3" s="15">
        <f t="shared" ref="E3:E11" si="0">IF(C3=0,0,(D3/C3*100))</f>
        <v>14.806822160993512</v>
      </c>
      <c r="F3" s="1" t="str">
        <f t="shared" ref="F3:F11" si="1">IF(E3&lt;=10,"X",IF(E3&lt;=25,"Y","Z"))</f>
        <v>Y</v>
      </c>
      <c r="G3" t="str">
        <f t="shared" ref="G3:G11" si="2">IF(F3="X","✅ Стабильный спрос - точный прогноз",
IF(F3="Y","⚠️ Умеренные колебания - корректировать заказ",
"❌ Нестабильность - под заказ"))</f>
        <v>⚠️ Умеренные колебания - корректировать заказ</v>
      </c>
    </row>
    <row r="4" spans="1:7" x14ac:dyDescent="0.25">
      <c r="A4" t="str">
        <f>Данные[Sku]</f>
        <v>SKU003</v>
      </c>
      <c r="B4" t="str">
        <f>Данные[Товар]</f>
        <v>Стиралка C</v>
      </c>
      <c r="C4" s="16">
        <f>AVERAGE(Данные!L4:O4)</f>
        <v>80.75</v>
      </c>
      <c r="D4" s="15">
        <f>_xlfn.STDEV.S(
VLOOKUP($A4,Данные!$A$2:$O$11,12,0),
VLOOKUP($A4,Данные!$A$2:$O$11,13,0),
VLOOKUP($A4,Данные!$A$2:$O$11,14,0),
VLOOKUP($A4,Данные!$A$2:$O$11,15,0)
)</f>
        <v>7.1821538088050811</v>
      </c>
      <c r="E4" s="15">
        <f t="shared" si="0"/>
        <v>8.8943081223592326</v>
      </c>
      <c r="F4" s="1" t="str">
        <f t="shared" si="1"/>
        <v>X</v>
      </c>
      <c r="G4" t="str">
        <f t="shared" si="2"/>
        <v>✅ Стабильный спрос - точный прогноз</v>
      </c>
    </row>
    <row r="5" spans="1:7" x14ac:dyDescent="0.25">
      <c r="A5" t="str">
        <f>Данные[Sku]</f>
        <v>SKU004</v>
      </c>
      <c r="B5" t="str">
        <f>Данные[Товар]</f>
        <v>Микра D</v>
      </c>
      <c r="C5" s="16">
        <f>AVERAGE(Данные!L5:O5)</f>
        <v>150</v>
      </c>
      <c r="D5" s="15">
        <f>_xlfn.STDEV.S(
VLOOKUP($A5,Данные!$A$2:$O$11,12,0),
VLOOKUP($A5,Данные!$A$2:$O$11,13,0),
VLOOKUP($A5,Данные!$A$2:$O$11,14,0),
VLOOKUP($A5,Данные!$A$2:$O$11,15,0)
)</f>
        <v>9.1287092917527684</v>
      </c>
      <c r="E5" s="15">
        <f t="shared" si="0"/>
        <v>6.0858061945018456</v>
      </c>
      <c r="F5" s="1" t="str">
        <f t="shared" si="1"/>
        <v>X</v>
      </c>
      <c r="G5" t="str">
        <f t="shared" si="2"/>
        <v>✅ Стабильный спрос - точный прогноз</v>
      </c>
    </row>
    <row r="6" spans="1:7" x14ac:dyDescent="0.25">
      <c r="A6" t="str">
        <f>Данные[Sku]</f>
        <v>SKU005</v>
      </c>
      <c r="B6" t="str">
        <f>Данные[Товар]</f>
        <v>Чайник E</v>
      </c>
      <c r="C6" s="16">
        <f>AVERAGE(Данные!L6:O6)</f>
        <v>301.25</v>
      </c>
      <c r="D6" s="15">
        <f>_xlfn.STDEV.S(
VLOOKUP($A6,Данные!$A$2:$O$11,12,0),
VLOOKUP($A6,Данные!$A$2:$O$11,13,0),
VLOOKUP($A6,Данные!$A$2:$O$11,14,0),
VLOOKUP($A6,Данные!$A$2:$O$11,15,0)
)</f>
        <v>16.520189667999176</v>
      </c>
      <c r="E6" s="15">
        <f t="shared" si="0"/>
        <v>5.4838803877175692</v>
      </c>
      <c r="F6" s="1" t="str">
        <f t="shared" si="1"/>
        <v>X</v>
      </c>
      <c r="G6" t="str">
        <f t="shared" si="2"/>
        <v>✅ Стабильный спрос - точный прогноз</v>
      </c>
    </row>
    <row r="7" spans="1:7" x14ac:dyDescent="0.25">
      <c r="A7" t="str">
        <f>Данные[Sku]</f>
        <v>SKU006</v>
      </c>
      <c r="B7" t="str">
        <f>Данные[Товар]</f>
        <v>Чайник F</v>
      </c>
      <c r="C7" s="16">
        <f>AVERAGE(Данные!L7:O7)</f>
        <v>52.5</v>
      </c>
      <c r="D7" s="15">
        <f>_xlfn.STDEV.S(
VLOOKUP($A7,Данные!$A$2:$O$11,12,0),
VLOOKUP($A7,Данные!$A$2:$O$11,13,0),
VLOOKUP($A7,Данные!$A$2:$O$11,14,0),
VLOOKUP($A7,Данные!$A$2:$O$11,15,0)
)</f>
        <v>17.559422921421231</v>
      </c>
      <c r="E7" s="15">
        <f t="shared" si="0"/>
        <v>33.446519850326148</v>
      </c>
      <c r="F7" s="1" t="str">
        <f t="shared" si="1"/>
        <v>Z</v>
      </c>
      <c r="G7" t="str">
        <f t="shared" si="2"/>
        <v>❌ Нестабильность - под заказ</v>
      </c>
    </row>
    <row r="8" spans="1:7" x14ac:dyDescent="0.25">
      <c r="A8" t="str">
        <f>Данные[Sku]</f>
        <v>SKU007</v>
      </c>
      <c r="B8" t="str">
        <f>Данные[Товар]</f>
        <v>Холод Pro</v>
      </c>
      <c r="C8" s="16">
        <f>AVERAGE(Данные!L8:O8)</f>
        <v>26</v>
      </c>
      <c r="D8" s="15">
        <f>_xlfn.STDEV.S(
VLOOKUP($A8,Данные!$A$2:$O$11,12,0),
VLOOKUP($A8,Данные!$A$2:$O$11,13,0),
VLOOKUP($A8,Данные!$A$2:$O$11,14,0),
VLOOKUP($A8,Данные!$A$2:$O$11,15,0)
)</f>
        <v>3.6514837167011076</v>
      </c>
      <c r="E8" s="15">
        <f t="shared" si="0"/>
        <v>14.044168141158107</v>
      </c>
      <c r="F8" s="1" t="str">
        <f t="shared" si="1"/>
        <v>Y</v>
      </c>
      <c r="G8" t="str">
        <f t="shared" si="2"/>
        <v>⚠️ Умеренные колебания - корректировать заказ</v>
      </c>
    </row>
    <row r="9" spans="1:7" x14ac:dyDescent="0.25">
      <c r="A9" t="str">
        <f>Данные[Sku]</f>
        <v>SKU008</v>
      </c>
      <c r="B9" t="str">
        <f>Данные[Товар]</f>
        <v>Стиралка Slim</v>
      </c>
      <c r="C9" s="16">
        <f>AVERAGE(Данные!L9:O9)</f>
        <v>47.75</v>
      </c>
      <c r="D9" s="15">
        <f>_xlfn.STDEV.S(
VLOOKUP($A9,Данные!$A$2:$O$11,12,0),
VLOOKUP($A9,Данные!$A$2:$O$11,13,0),
VLOOKUP($A9,Данные!$A$2:$O$11,14,0),
VLOOKUP($A9,Данные!$A$2:$O$11,15,0)
)</f>
        <v>4.1932485418030412</v>
      </c>
      <c r="E9" s="15">
        <f t="shared" si="0"/>
        <v>8.7816723388545359</v>
      </c>
      <c r="F9" s="1" t="str">
        <f t="shared" si="1"/>
        <v>X</v>
      </c>
      <c r="G9" t="str">
        <f t="shared" si="2"/>
        <v>✅ Стабильный спрос - точный прогноз</v>
      </c>
    </row>
    <row r="10" spans="1:7" x14ac:dyDescent="0.25">
      <c r="A10" t="str">
        <f>Данные[Sku]</f>
        <v>SKU009</v>
      </c>
      <c r="B10" t="str">
        <f>Данные[Товар]</f>
        <v>Микра Smart</v>
      </c>
      <c r="C10" s="16">
        <f>AVERAGE(Данные!L10:O10)</f>
        <v>66</v>
      </c>
      <c r="D10" s="15">
        <f>_xlfn.STDEV.S(
VLOOKUP($A10,Данные!$A$2:$O$11,12,0),
VLOOKUP($A10,Данные!$A$2:$O$11,13,0),
VLOOKUP($A10,Данные!$A$2:$O$11,14,0),
VLOOKUP($A10,Данные!$A$2:$O$11,15,0)
)</f>
        <v>8.8317608663278477</v>
      </c>
      <c r="E10" s="15">
        <f t="shared" si="0"/>
        <v>13.381455858072497</v>
      </c>
      <c r="F10" s="1" t="str">
        <f t="shared" si="1"/>
        <v>Y</v>
      </c>
      <c r="G10" t="str">
        <f t="shared" si="2"/>
        <v>⚠️ Умеренные колебания - корректировать заказ</v>
      </c>
    </row>
    <row r="11" spans="1:7" x14ac:dyDescent="0.25">
      <c r="A11" t="str">
        <f>Данные[Sku]</f>
        <v>SKU010</v>
      </c>
      <c r="B11" t="str">
        <f>Данные[Товар]</f>
        <v>Чайник Styline</v>
      </c>
      <c r="C11" s="16">
        <f>AVERAGE(Данные!L11:O11)</f>
        <v>86.75</v>
      </c>
      <c r="D11" s="15">
        <f>_xlfn.STDEV.S(
VLOOKUP($A11,Данные!$A$2:$O$11,12,0),
VLOOKUP($A11,Данные!$A$2:$O$11,13,0),
VLOOKUP($A11,Данные!$A$2:$O$11,14,0),
VLOOKUP($A11,Данные!$A$2:$O$11,15,0)
)</f>
        <v>6.9940450861190957</v>
      </c>
      <c r="E11" s="15">
        <f t="shared" si="0"/>
        <v>8.0622998110882946</v>
      </c>
      <c r="F11" s="1" t="str">
        <f t="shared" si="1"/>
        <v>X</v>
      </c>
      <c r="G11" t="str">
        <f t="shared" si="2"/>
        <v>✅ Стабильный спрос - точный прогноз</v>
      </c>
    </row>
  </sheetData>
  <pageMargins left="0.7" right="0.7" top="0.75" bottom="0.75" header="0.3" footer="0.3"/>
  <ignoredErrors>
    <ignoredError sqref="C2:C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D30" sqref="D30"/>
    </sheetView>
  </sheetViews>
  <sheetFormatPr defaultRowHeight="15" x14ac:dyDescent="0.25"/>
  <cols>
    <col min="1" max="1" width="15.85546875" customWidth="1"/>
    <col min="2" max="2" width="18.85546875" customWidth="1"/>
    <col min="3" max="3" width="14.5703125" customWidth="1"/>
    <col min="4" max="4" width="17.7109375" customWidth="1"/>
    <col min="5" max="5" width="13.42578125" customWidth="1"/>
    <col min="6" max="6" width="16.42578125" customWidth="1"/>
    <col min="7" max="7" width="12.85546875" customWidth="1"/>
    <col min="8" max="8" width="29.28515625" customWidth="1"/>
    <col min="9" max="9" width="15.28515625" customWidth="1"/>
    <col min="10" max="10" width="21" customWidth="1"/>
  </cols>
  <sheetData>
    <row r="1" spans="1:10" ht="18.75" x14ac:dyDescent="0.4">
      <c r="A1" s="3" t="s">
        <v>1</v>
      </c>
      <c r="B1" s="2" t="s">
        <v>23</v>
      </c>
      <c r="C1" s="3" t="s">
        <v>45</v>
      </c>
      <c r="D1" s="17" t="s">
        <v>3</v>
      </c>
      <c r="E1" s="2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</row>
    <row r="2" spans="1:10" x14ac:dyDescent="0.25">
      <c r="A2" t="str">
        <f>Данные[Sku]</f>
        <v>SKU001</v>
      </c>
      <c r="B2" t="str">
        <f>Данные[Товар]</f>
        <v>Холодильник F</v>
      </c>
      <c r="C2">
        <f>VLOOKUP($A2,Данные!$A$2:$O$11,11,0)</f>
        <v>20</v>
      </c>
      <c r="D2">
        <f>VLOOKUP($A2,Данные!$A$2:$O$11,7,0)</f>
        <v>120</v>
      </c>
      <c r="E2" s="5">
        <f>VLOOKUP($A2,Данные!$A$2:$O$11,5,0)</f>
        <v>30000</v>
      </c>
      <c r="F2">
        <f>IF(D2=0,999,ROUND(C2/(D2/30),0))</f>
        <v>5</v>
      </c>
      <c r="G2">
        <f>IF(D2=0,0,ROUND(30/(D2/30),1))</f>
        <v>7.5</v>
      </c>
      <c r="H2" t="str">
        <f>IF(F2&lt;=14,"🔴 СРОЧНЫЙ ЗАКАЗ",
IF(F2&lt;=30,"🟡 ПЛАНИРОВАТЬ ЗАКАЗ",
IF(F2&lt;=60,"🟢 ЗАПАС В НОРМЕ",
IF(F2&lt;=90,"⚠️ ПРОВЕРИТЬ СПРОС",
"❌ ИЗЛИШЕК - СКИДКА"))))</f>
        <v>🔴 СРОЧНЫЙ ЗАКАЗ</v>
      </c>
      <c r="I2">
        <f>IF(H2="🔴 СРОЧНЫЙ ЗАКАЗ",MAX(0,ROUNDUP(D2*1.5,0)-C2),
IF(H2="🟡 ПЛАНИРОВАТЬ ЗАКАЗ",MAX(0,ROUNDUP(D2*1.5,0)-C2),0))</f>
        <v>160</v>
      </c>
      <c r="J2" s="18">
        <f>I2*E2</f>
        <v>4800000</v>
      </c>
    </row>
    <row r="3" spans="1:10" x14ac:dyDescent="0.25">
      <c r="A3" t="str">
        <f>Данные[Sku]</f>
        <v>SKU002</v>
      </c>
      <c r="B3" t="str">
        <f>Данные[Товар]</f>
        <v>Холодильник B</v>
      </c>
      <c r="C3">
        <f>VLOOKUP($A3,Данные!$A$2:$O$11,11,0)</f>
        <v>30</v>
      </c>
      <c r="D3">
        <f>VLOOKUP($A3,Данные!$A$2:$O$11,7,0)</f>
        <v>60</v>
      </c>
      <c r="E3" s="5">
        <f>VLOOKUP($A3,Данные!$A$2:$O$11,5,0)</f>
        <v>35000</v>
      </c>
      <c r="F3">
        <f t="shared" ref="F3:F11" si="0">IF(D3=0,999,ROUND(C3/(D3/30),0))</f>
        <v>15</v>
      </c>
      <c r="G3">
        <f>IF(D3=0,0,ROUND(30/(D3/30),1))</f>
        <v>15</v>
      </c>
      <c r="H3" t="str">
        <f t="shared" ref="H3:H11" si="1">IF(F3&lt;=14,"🔴 СРОЧНЫЙ ЗАКАЗ",
IF(F3&lt;=30,"🟡 ПЛАНИРОВАТЬ ЗАКАЗ",
IF(F3&lt;=60,"🟢 ЗАПАС В НОРМЕ",
IF(F3&lt;=90,"⚠️ ПРОВЕРИТЬ СПРОС",
"❌ ИЗЛИШЕК - СКИДКА"))))</f>
        <v>🟡 ПЛАНИРОВАТЬ ЗАКАЗ</v>
      </c>
      <c r="I3">
        <f t="shared" ref="I3:I11" si="2">IF(H3="🔴 СРОЧНЫЙ ЗАКАЗ",MAX(0,ROUNDUP(D3*1.5,0)-C3),
IF(H3="🟡 ПЛАНИРОВАТЬ ЗАКАЗ",MAX(0,ROUNDUP(D3*1.5,0)-C3),0))</f>
        <v>60</v>
      </c>
      <c r="J3" s="18">
        <f t="shared" ref="J3:J11" si="3">I3*E3</f>
        <v>2100000</v>
      </c>
    </row>
    <row r="4" spans="1:10" x14ac:dyDescent="0.25">
      <c r="A4" t="str">
        <f>Данные[Sku]</f>
        <v>SKU003</v>
      </c>
      <c r="B4" t="str">
        <f>Данные[Товар]</f>
        <v>Стиралка C</v>
      </c>
      <c r="C4">
        <f>VLOOKUP($A4,Данные!$A$2:$O$11,11,0)</f>
        <v>10</v>
      </c>
      <c r="D4">
        <f>VLOOKUP($A4,Данные!$A$2:$O$11,7,0)</f>
        <v>80</v>
      </c>
      <c r="E4" s="5">
        <f>VLOOKUP($A4,Данные!$A$2:$O$11,5,0)</f>
        <v>45000</v>
      </c>
      <c r="F4">
        <f t="shared" si="0"/>
        <v>4</v>
      </c>
      <c r="G4">
        <f t="shared" ref="G3:G11" si="4">IF(D4=0,0,ROUND(30/(D4/30),1))</f>
        <v>11.3</v>
      </c>
      <c r="H4" t="str">
        <f t="shared" si="1"/>
        <v>🔴 СРОЧНЫЙ ЗАКАЗ</v>
      </c>
      <c r="I4">
        <f t="shared" si="2"/>
        <v>110</v>
      </c>
      <c r="J4" s="18">
        <f t="shared" si="3"/>
        <v>4950000</v>
      </c>
    </row>
    <row r="5" spans="1:10" x14ac:dyDescent="0.25">
      <c r="A5" t="str">
        <f>Данные[Sku]</f>
        <v>SKU004</v>
      </c>
      <c r="B5" t="str">
        <f>Данные[Товар]</f>
        <v>Микра D</v>
      </c>
      <c r="C5">
        <f>VLOOKUP($A5,Данные!$A$2:$O$11,11,0)</f>
        <v>50</v>
      </c>
      <c r="D5">
        <f>VLOOKUP($A5,Данные!$A$2:$O$11,7,0)</f>
        <v>150</v>
      </c>
      <c r="E5" s="5">
        <f>VLOOKUP($A5,Данные!$A$2:$O$11,5,0)</f>
        <v>8000</v>
      </c>
      <c r="F5">
        <f t="shared" si="0"/>
        <v>10</v>
      </c>
      <c r="G5">
        <f t="shared" si="4"/>
        <v>6</v>
      </c>
      <c r="H5" t="str">
        <f t="shared" si="1"/>
        <v>🔴 СРОЧНЫЙ ЗАКАЗ</v>
      </c>
      <c r="I5">
        <f t="shared" si="2"/>
        <v>175</v>
      </c>
      <c r="J5" s="18">
        <f t="shared" si="3"/>
        <v>1400000</v>
      </c>
    </row>
    <row r="6" spans="1:10" x14ac:dyDescent="0.25">
      <c r="A6" t="str">
        <f>Данные[Sku]</f>
        <v>SKU005</v>
      </c>
      <c r="B6" t="str">
        <f>Данные[Товар]</f>
        <v>Чайник E</v>
      </c>
      <c r="C6">
        <f>VLOOKUP($A6,Данные!$A$2:$O$11,11,0)</f>
        <v>200</v>
      </c>
      <c r="D6">
        <f>VLOOKUP($A6,Данные!$A$2:$O$11,7,0)</f>
        <v>300</v>
      </c>
      <c r="E6" s="5">
        <f>VLOOKUP($A6,Данные!$A$2:$O$11,5,0)</f>
        <v>2500</v>
      </c>
      <c r="F6">
        <f t="shared" si="0"/>
        <v>20</v>
      </c>
      <c r="G6">
        <f t="shared" si="4"/>
        <v>3</v>
      </c>
      <c r="H6" t="str">
        <f t="shared" si="1"/>
        <v>🟡 ПЛАНИРОВАТЬ ЗАКАЗ</v>
      </c>
      <c r="I6">
        <f t="shared" si="2"/>
        <v>250</v>
      </c>
      <c r="J6" s="18">
        <f t="shared" si="3"/>
        <v>625000</v>
      </c>
    </row>
    <row r="7" spans="1:10" x14ac:dyDescent="0.25">
      <c r="A7" t="str">
        <f>Данные[Sku]</f>
        <v>SKU006</v>
      </c>
      <c r="B7" t="str">
        <f>Данные[Товар]</f>
        <v>Чайник F</v>
      </c>
      <c r="C7">
        <f>VLOOKUP($A7,Данные!$A$2:$O$11,11,0)</f>
        <v>40</v>
      </c>
      <c r="D7">
        <f>VLOOKUP($A7,Данные!$A$2:$O$11,7,0)</f>
        <v>50</v>
      </c>
      <c r="E7" s="5">
        <f>VLOOKUP($A7,Данные!$A$2:$O$11,5,0)</f>
        <v>2000</v>
      </c>
      <c r="F7">
        <f t="shared" si="0"/>
        <v>24</v>
      </c>
      <c r="G7">
        <f t="shared" si="4"/>
        <v>18</v>
      </c>
      <c r="H7" t="str">
        <f t="shared" si="1"/>
        <v>🟡 ПЛАНИРОВАТЬ ЗАКАЗ</v>
      </c>
      <c r="I7">
        <f t="shared" si="2"/>
        <v>35</v>
      </c>
      <c r="J7" s="18">
        <f t="shared" si="3"/>
        <v>70000</v>
      </c>
    </row>
    <row r="8" spans="1:10" x14ac:dyDescent="0.25">
      <c r="A8" t="str">
        <f>Данные[Sku]</f>
        <v>SKU007</v>
      </c>
      <c r="B8" t="str">
        <f>Данные[Товар]</f>
        <v>Холод Pro</v>
      </c>
      <c r="C8">
        <f>VLOOKUP($A8,Данные!$A$2:$O$11,11,0)</f>
        <v>8</v>
      </c>
      <c r="D8">
        <f>VLOOKUP($A8,Данные!$A$2:$O$11,7,0)</f>
        <v>25</v>
      </c>
      <c r="E8" s="5">
        <f>VLOOKUP($A8,Данные!$A$2:$O$11,5,0)</f>
        <v>55000</v>
      </c>
      <c r="F8">
        <f t="shared" si="0"/>
        <v>10</v>
      </c>
      <c r="G8">
        <f t="shared" si="4"/>
        <v>36</v>
      </c>
      <c r="H8" t="str">
        <f t="shared" si="1"/>
        <v>🔴 СРОЧНЫЙ ЗАКАЗ</v>
      </c>
      <c r="I8">
        <f t="shared" si="2"/>
        <v>30</v>
      </c>
      <c r="J8" s="18">
        <f t="shared" si="3"/>
        <v>1650000</v>
      </c>
    </row>
    <row r="9" spans="1:10" x14ac:dyDescent="0.25">
      <c r="A9" t="str">
        <f>Данные[Sku]</f>
        <v>SKU008</v>
      </c>
      <c r="B9" t="str">
        <f>Данные[Товар]</f>
        <v>Стиралка Slim</v>
      </c>
      <c r="C9">
        <f>VLOOKUP($A9,Данные!$A$2:$O$11,11,0)</f>
        <v>15</v>
      </c>
      <c r="D9">
        <f>VLOOKUP($A9,Данные!$A$2:$O$11,7,0)</f>
        <v>45</v>
      </c>
      <c r="E9" s="5">
        <f>VLOOKUP($A9,Данные!$A$2:$O$11,5,0)</f>
        <v>32000</v>
      </c>
      <c r="F9">
        <f t="shared" si="0"/>
        <v>10</v>
      </c>
      <c r="G9">
        <f t="shared" si="4"/>
        <v>20</v>
      </c>
      <c r="H9" t="str">
        <f t="shared" si="1"/>
        <v>🔴 СРОЧНЫЙ ЗАКАЗ</v>
      </c>
      <c r="I9">
        <f t="shared" si="2"/>
        <v>53</v>
      </c>
      <c r="J9" s="18">
        <f t="shared" si="3"/>
        <v>1696000</v>
      </c>
    </row>
    <row r="10" spans="1:10" x14ac:dyDescent="0.25">
      <c r="A10" t="str">
        <f>Данные[Sku]</f>
        <v>SKU009</v>
      </c>
      <c r="B10" t="str">
        <f>Данные[Товар]</f>
        <v>Микра Smart</v>
      </c>
      <c r="C10">
        <f>VLOOKUP($A10,Данные!$A$2:$O$11,11,0)</f>
        <v>22</v>
      </c>
      <c r="D10">
        <f>VLOOKUP($A10,Данные!$A$2:$O$11,7,0)</f>
        <v>65</v>
      </c>
      <c r="E10" s="5">
        <f>VLOOKUP($A10,Данные!$A$2:$O$11,5,0)</f>
        <v>12000</v>
      </c>
      <c r="F10">
        <f t="shared" si="0"/>
        <v>10</v>
      </c>
      <c r="G10">
        <f t="shared" si="4"/>
        <v>13.8</v>
      </c>
      <c r="H10" t="str">
        <f t="shared" si="1"/>
        <v>🔴 СРОЧНЫЙ ЗАКАЗ</v>
      </c>
      <c r="I10">
        <f t="shared" si="2"/>
        <v>76</v>
      </c>
      <c r="J10" s="18">
        <f t="shared" si="3"/>
        <v>912000</v>
      </c>
    </row>
    <row r="11" spans="1:10" x14ac:dyDescent="0.25">
      <c r="A11" t="str">
        <f>Данные[Sku]</f>
        <v>SKU010</v>
      </c>
      <c r="B11" t="str">
        <f>Данные[Товар]</f>
        <v>Чайник Styline</v>
      </c>
      <c r="C11">
        <f>VLOOKUP($A11,Данные!$A$2:$O$11,11,0)</f>
        <v>65</v>
      </c>
      <c r="D11">
        <f>VLOOKUP($A11,Данные!$A$2:$O$11,7,0)</f>
        <v>85</v>
      </c>
      <c r="E11" s="5">
        <f>VLOOKUP($A11,Данные!$A$2:$O$11,5,0)</f>
        <v>3200</v>
      </c>
      <c r="F11">
        <f t="shared" si="0"/>
        <v>23</v>
      </c>
      <c r="G11">
        <f t="shared" si="4"/>
        <v>10.6</v>
      </c>
      <c r="H11" t="str">
        <f t="shared" si="1"/>
        <v>🟡 ПЛАНИРОВАТЬ ЗАКАЗ</v>
      </c>
      <c r="I11">
        <f t="shared" si="2"/>
        <v>63</v>
      </c>
      <c r="J11" s="18">
        <f t="shared" si="3"/>
        <v>201600</v>
      </c>
    </row>
    <row r="15" spans="1:10" x14ac:dyDescent="0.25">
      <c r="C15" s="19" t="s">
        <v>52</v>
      </c>
      <c r="D15" s="19"/>
    </row>
    <row r="17" spans="3:6" x14ac:dyDescent="0.25">
      <c r="C17" s="20" t="s">
        <v>53</v>
      </c>
      <c r="D17" s="20" t="str">
        <f>COUNTIF(H2:H11,"🔴*") &amp; " товаров"</f>
        <v>6 товаров</v>
      </c>
      <c r="E17" t="s">
        <v>54</v>
      </c>
      <c r="F17" t="str">
        <f>"₽ " &amp; TEXT(SUMIF(H2:H11,"🔴*",J2:J11),"# ##0")</f>
        <v>₽ 15 408 000</v>
      </c>
    </row>
    <row r="18" spans="3:6" x14ac:dyDescent="0.25">
      <c r="C18" s="20" t="s">
        <v>55</v>
      </c>
      <c r="D18" s="20" t="str">
        <f>COUNTIF(H2:H11,"🟡*") &amp; " товаров"</f>
        <v>4 товаров</v>
      </c>
      <c r="E18" t="s">
        <v>54</v>
      </c>
      <c r="F18" t="str">
        <f>"₽ " &amp; TEXT(SUMIF(H2:H11,"🟡*",J2:J11),"# ##0")</f>
        <v>₽ 2 996 600</v>
      </c>
    </row>
    <row r="20" spans="3:6" x14ac:dyDescent="0.25">
      <c r="C20" s="21" t="s">
        <v>56</v>
      </c>
      <c r="D20" s="21"/>
      <c r="E20" t="str">
        <f>SUM(I2:I11) &amp; " шт"</f>
        <v>1012 шт</v>
      </c>
      <c r="F20" t="str">
        <f>"на ₽ " &amp; TEXT(SUM(J2:J11),"# ##0")</f>
        <v>на ₽ 18 404 600</v>
      </c>
    </row>
    <row r="23" spans="3:6" x14ac:dyDescent="0.25">
      <c r="C23" s="20"/>
      <c r="D23" s="20"/>
    </row>
  </sheetData>
  <mergeCells count="2">
    <mergeCell ref="C15:D15"/>
    <mergeCell ref="C20:D20"/>
  </mergeCells>
  <conditionalFormatting sqref="F2:F11">
    <cfRule type="cellIs" dxfId="6" priority="8" operator="lessThan">
      <formula>0</formula>
    </cfRule>
    <cfRule type="cellIs" dxfId="5" priority="7" operator="lessThan">
      <formula>14</formula>
    </cfRule>
    <cfRule type="cellIs" dxfId="4" priority="6" operator="greaterThan">
      <formula>30</formula>
    </cfRule>
    <cfRule type="cellIs" dxfId="3" priority="5" operator="greaterThan">
      <formula>15</formula>
    </cfRule>
    <cfRule type="cellIs" dxfId="2" priority="4" operator="greaterThan">
      <formula>14</formula>
    </cfRule>
    <cfRule type="cellIs" dxfId="1" priority="3" operator="lessThan">
      <formula>11</formula>
    </cfRule>
    <cfRule type="cellIs" dxfId="0" priority="2" operator="greaterThan">
      <formula>14</formula>
    </cfRule>
  </conditionalFormatting>
  <conditionalFormatting sqref="H2:H11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ABC</vt:lpstr>
      <vt:lpstr>XYZ</vt:lpstr>
      <vt:lpstr>Запасы_и_заказы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2026-05-10T15:05:10Z</dcterms:created>
  <dcterms:modified xsi:type="dcterms:W3CDTF">2026-05-10T18:08:36Z</dcterms:modified>
</cp:coreProperties>
</file>